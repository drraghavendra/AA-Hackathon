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grammes" sheetId="2" state="visible" r:id="rId4"/>
    <sheet name="Centres" sheetId="3" state="visible" r:id="rId5"/>
    <sheet name="Supplier_Delivery_History" sheetId="4" state="visible" r:id="rId6"/>
    <sheet name="Supplier_Reliability_Summary" sheetId="5" state="visible" r:id="rId7"/>
    <sheet name="Decision_Log_Programme" sheetId="6" state="visible" r:id="rId8"/>
    <sheet name="Decision_Log_Aggregate" sheetId="7" state="visible" r:id="rId9"/>
    <sheet name="Planning_Report_Day4" sheetId="8" state="visible" r:id="rId10"/>
    <sheet name="Inventory_Day4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<sst xmlns="http://schemas.openxmlformats.org/spreadsheetml/2006/main" count="381" uniqueCount="173">
  <si>
    <t xml:space="preserve">AKSHAYA PATRA — AGENTIC PRODUCTION PLANNING DATASET</t>
  </si>
  <si>
    <t xml:space="preserve">Purpose: this dataset is designed to test whether an agent can reason across</t>
  </si>
  <si>
    <t xml:space="preserve">interdependent variables, not just retrieve fields. Each sheet maps to a</t>
  </si>
  <si>
    <t xml:space="preserve">specific reasoning capability and includes at least one deliberately</t>
  </si>
  <si>
    <t xml:space="preserve">misleading data point that only resolves correctly with cross-referencing.</t>
  </si>
  <si>
    <t xml:space="preserve">SHEETS</t>
  </si>
  <si>
    <t xml:space="preserve">Programmes                    - criticality tier, independent of volume</t>
  </si>
  <si>
    <t xml:space="preserve">Centres                       - capacity ceilings, equipment constraints</t>
  </si>
  <si>
    <t xml:space="preserve">Supplier_Delivery_History     - raw per-cycle deliveries (long format)</t>
  </si>
  <si>
    <t xml:space="preserve">Supplier_Reliability_Summary  - LIVE FORMULAS: naive vs pressure-adjusted score</t>
  </si>
  <si>
    <t xml:space="preserve">Decision_Log_Programme        - planned vs actual, at programme granularity</t>
  </si>
  <si>
    <t xml:space="preserve">Decision_Log_Aggregate        - centre-level totals (what a normal report shows)</t>
  </si>
  <si>
    <t xml:space="preserve">Planning_Report_Day4          - TODAY's starting condition (the raw report)</t>
  </si>
  <si>
    <t xml:space="preserve">Inventory_Day4                - today's stock + incoming deliveries</t>
  </si>
  <si>
    <t xml:space="preserve">EDGE CASES AND WHERE THEY LIVE</t>
  </si>
  <si>
    <t xml:space="preserve">1. Happy path -&gt; Centre C1 in Decision_Log_Aggregate / Decision_Log_Programme: 3 clean cycles.</t>
  </si>
  <si>
    <t xml:space="preserve">2. Recency vs pressure -&gt; Supplier SUP-204 in Supplier_Reliability_Summary: naive score</t>
  </si>
  <si>
    <t xml:space="preserve">   looks fine (~0.82); pressure-adjusted score (~0.47) only shows up once you filter</t>
  </si>
  <si>
    <t xml:space="preserve">   delivery history to cycles matching today's surge-level volume.</t>
  </si>
  <si>
    <t xml:space="preserve">3. Hitting the number, missing the point -&gt; Centre C2 / Programme PRG-002 in</t>
  </si>
  <si>
    <t xml:space="preserve">   Decision_Log_Programme: Tier 1 programme under-delivered 3 cycles running while</t>
  </si>
  <si>
    <t xml:space="preserve">   Decision_Log_Aggregate shows ~99% output for the same centre.</t>
  </si>
  <si>
    <t xml:space="preserve">4. Mid-cycle reversal -&gt; Centre C4, Day2, in Decision_Log_Programme notes column:</t>
  </si>
  <si>
    <t xml:space="preserve">   both stock level and supplier record were clean; the failure was an allocation</t>
  </si>
  <si>
    <t xml:space="preserve">   gap between two Tier 1 recipes sharing one stock pool, only found mid-cook.</t>
  </si>
  <si>
    <t xml:space="preserve">5. Demand surge vs capacity -&gt; Centre C5 in Planning_Report_Day4 + Centres: a new</t>
  </si>
  <si>
    <t xml:space="preserve">   government order pushes required meals to 109% of the stated physical ceiling</t>
  </si>
  <si>
    <t xml:space="preserve">   even though Inventory_Day4 shows ingredients are fully sufficient.</t>
  </si>
  <si>
    <t xml:space="preserve">HOW TO USE FOR AGENT TESTING</t>
  </si>
  <si>
    <t xml:space="preserve">Feed Planning_Report_Day4 + Inventory_Day4 as the live starting condition.</t>
  </si>
  <si>
    <t xml:space="preserve">Feed the other sheets as the agent's retrievable knowledge base (history,</t>
  </si>
  <si>
    <t xml:space="preserve">master data). A correct agent should surface all 5 patterns above BEFORE</t>
  </si>
  <si>
    <t xml:space="preserve">production starts, using the reasoning method noted in the corresponding sheet -</t>
  </si>
  <si>
    <t xml:space="preserve">not by treating any single row as the full answer.</t>
  </si>
  <si>
    <t xml:space="preserve">programme_id</t>
  </si>
  <si>
    <t xml:space="preserve">name</t>
  </si>
  <si>
    <t xml:space="preserve">criticality_tier</t>
  </si>
  <si>
    <t xml:space="preserve">nutritional_flag</t>
  </si>
  <si>
    <t xml:space="preserve">typical_daily_volume_meals</t>
  </si>
  <si>
    <t xml:space="preserve">reversibility_if_missed</t>
  </si>
  <si>
    <t xml:space="preserve">PRG-001</t>
  </si>
  <si>
    <t xml:space="preserve">Mid-Day Meal - Government Schools</t>
  </si>
  <si>
    <t xml:space="preserve">Tier 3 - Standard</t>
  </si>
  <si>
    <t xml:space="preserve">Balanced calorie/protein meal, no special micronutrient mandate</t>
  </si>
  <si>
    <t xml:space="preserve">High - can be made up next day without medical consequence</t>
  </si>
  <si>
    <t xml:space="preserve">PRG-002</t>
  </si>
  <si>
    <t xml:space="preserve">Anganwadi Take-Home Ration (Iron-Fortified)</t>
  </si>
  <si>
    <t xml:space="preserve">Tier 1 - Critical</t>
  </si>
  <si>
    <t xml:space="preserve">Iron-fortified; targets anemia in children under 6; requires green leafy vegetables + fortified rice as recipe-locked inputs</t>
  </si>
  <si>
    <t xml:space="preserve">Low - part of a medically supervised anemia intervention; a missed day breaks the supplementation cycle</t>
  </si>
  <si>
    <t xml:space="preserve">PRG-003</t>
  </si>
  <si>
    <t xml:space="preserve">Adolescent Girls Anemia &amp; Nutrition Programme</t>
  </si>
  <si>
    <t xml:space="preserve">Iron + folic acid fortified meal; clinically tracked cohort</t>
  </si>
  <si>
    <t xml:space="preserve">Low - clinically tracked; missed doses are reported upstream to health department</t>
  </si>
  <si>
    <t xml:space="preserve">PRG-004</t>
  </si>
  <si>
    <t xml:space="preserve">Mid-Day Meal - Government Schools (New Expansion Order)</t>
  </si>
  <si>
    <t xml:space="preserve">Tier 2 - High</t>
  </si>
  <si>
    <t xml:space="preserve">Standard meal, but politically/contractually high-visibility as a fresh government commitment</t>
  </si>
  <si>
    <t xml:space="preserve">Medium - reputational and contractual exposure if a brand-new government order is missed on day one</t>
  </si>
  <si>
    <t xml:space="preserve">PRG-005</t>
  </si>
  <si>
    <t xml:space="preserve">Pregnant &amp; Lactating Women Nutrition Support</t>
  </si>
  <si>
    <t xml:space="preserve">Fortified khichdi/porridge; recipe shares fortified rice with PRG-002</t>
  </si>
  <si>
    <t xml:space="preserve">Low - maternal nutrition programme, missed servings flagged to health authorities</t>
  </si>
  <si>
    <t xml:space="preserve">centre_id</t>
  </si>
  <si>
    <t xml:space="preserve">base_daily_capacity_meals</t>
  </si>
  <si>
    <t xml:space="preserve">equipment_notes</t>
  </si>
  <si>
    <t xml:space="preserve">role_in_dataset</t>
  </si>
  <si>
    <t xml:space="preserve">C1</t>
  </si>
  <si>
    <t xml:space="preserve">Bangalore - Whitefield</t>
  </si>
  <si>
    <t xml:space="preserve">Two steam-cooking lines, no single-line dependency</t>
  </si>
  <si>
    <t xml:space="preserve">HAPPY PATH - clean 3-cycle record</t>
  </si>
  <si>
    <t xml:space="preserve">C2</t>
  </si>
  <si>
    <t xml:space="preserve">Hyderabad - Kukatpally</t>
  </si>
  <si>
    <t xml:space="preserve">Single fortification line shared across Tier 1 programmes</t>
  </si>
  <si>
    <t xml:space="preserve">EDGE CASE - hit aggregate target by quietly deprioritising a Tier 1 programme</t>
  </si>
  <si>
    <t xml:space="preserve">C3</t>
  </si>
  <si>
    <t xml:space="preserve">Pune - Hadapsar</t>
  </si>
  <si>
    <t xml:space="preserve">Depends on single vegetable supplier for leafy greens</t>
  </si>
  <si>
    <t xml:space="preserve">EDGE CASE - supplier reliable for 2 cycles, missed a critical commitment under surge pressure</t>
  </si>
  <si>
    <t xml:space="preserve">C4</t>
  </si>
  <si>
    <t xml:space="preserve">Jaipur - Mansarovar</t>
  </si>
  <si>
    <t xml:space="preserve">Fortified-rice stock is shared/pooled across two recipes (PRG-002 and PRG-005) without a hard reservation system</t>
  </si>
  <si>
    <t xml:space="preserve">EDGE CASE - mid-cycle reversal caused by an uncaught ingredient dependency</t>
  </si>
  <si>
    <t xml:space="preserve">C5</t>
  </si>
  <si>
    <t xml:space="preserve">Delhi - Rohini</t>
  </si>
  <si>
    <t xml:space="preserve">Currently near steady-state capacity ceiling</t>
  </si>
  <si>
    <t xml:space="preserve">Receives an unplanned demand surge (new government order) on the day being reasoned over</t>
  </si>
  <si>
    <t xml:space="preserve">supplier_id</t>
  </si>
  <si>
    <t xml:space="preserve">supplier_name</t>
  </si>
  <si>
    <t xml:space="preserve">supplies_ingredient</t>
  </si>
  <si>
    <t xml:space="preserve">serves_centres</t>
  </si>
  <si>
    <t xml:space="preserve">cycle</t>
  </si>
  <si>
    <t xml:space="preserve">committed_kg</t>
  </si>
  <si>
    <t xml:space="preserve">delivered_kg</t>
  </si>
  <si>
    <t xml:space="preserve">on_time</t>
  </si>
  <si>
    <t xml:space="preserve">quality_pass</t>
  </si>
  <si>
    <t xml:space="preserve">load_condition</t>
  </si>
  <si>
    <t xml:space="preserve">delivery_ratio</t>
  </si>
  <si>
    <t xml:space="preserve">note</t>
  </si>
  <si>
    <t xml:space="preserve">SUP-101</t>
  </si>
  <si>
    <t xml:space="preserve">Sunrise Grains Co.</t>
  </si>
  <si>
    <t xml:space="preserve">Rice (standard)</t>
  </si>
  <si>
    <t xml:space="preserve">Day1</t>
  </si>
  <si>
    <t xml:space="preserve">Day2</t>
  </si>
  <si>
    <t xml:space="preserve">Day3</t>
  </si>
  <si>
    <t xml:space="preserve">SUP-204</t>
  </si>
  <si>
    <t xml:space="preserve">AgroFresh Vegetables</t>
  </si>
  <si>
    <t xml:space="preserve">Green leafy vegetables (spinach/methi) - recipe-locked input for PRG-002 (Tier 1)</t>
  </si>
  <si>
    <t xml:space="preserve">steady-state</t>
  </si>
  <si>
    <t xml:space="preserve">demand surge (+35% order)</t>
  </si>
  <si>
    <t xml:space="preserve">Missed 53% of committed volume specifically on the one cycle load exceeded steady-state. This is the ONLY data point that matters for tomorrow's surge-day forecast, but a naive rolling average buries it under two clean cycles.</t>
  </si>
  <si>
    <t xml:space="preserve">SUP-317</t>
  </si>
  <si>
    <t xml:space="preserve">Delta Dairy</t>
  </si>
  <si>
    <t xml:space="preserve">Milk</t>
  </si>
  <si>
    <t xml:space="preserve">C2, C5</t>
  </si>
  <si>
    <t xml:space="preserve">SUP-450</t>
  </si>
  <si>
    <t xml:space="preserve">Rajasthan Fortified Mills</t>
  </si>
  <si>
    <t xml:space="preserve">Fortified rice - shared recipe input for PRG-002 and PRG-005</t>
  </si>
  <si>
    <t xml:space="preserve">Delivery itself was fine - the Day2 problem was downstream allocation, not supply. See decision_log C4 Day2 reversal.</t>
  </si>
  <si>
    <t xml:space="preserve">naive_reliability_score</t>
  </si>
  <si>
    <t xml:space="preserve">pressure_adjusted_reliability_score</t>
  </si>
  <si>
    <t xml:space="preserve">tested_under_surge</t>
  </si>
  <si>
    <t xml:space="preserve">risk_flag</t>
  </si>
  <si>
    <t xml:space="preserve">reasoning_note</t>
  </si>
  <si>
    <t xml:space="preserve">Clean record.</t>
  </si>
  <si>
    <t xml:space="preserve">RECENCY_VS_PRESSURE - naive average (83%) reads as reliable; performance under the one load condition matching tomorrow's forecast (surge) was 47% of commitment. Treat as high-risk for any surge-day plan, not as a reliable supplier having an off day.</t>
  </si>
  <si>
    <t xml:space="preserve">SUPPLY_NOT_THE_RISK - this supplier is clean. The C4 incident was caused by two Tier-1 recipes drawing on one unreserved stock pool, which no supplier-side metric would ever surface.</t>
  </si>
  <si>
    <t xml:space="preserve">planned_meals</t>
  </si>
  <si>
    <t xml:space="preserve">actual_meals</t>
  </si>
  <si>
    <t xml:space="preserve">fulfilment_ratio</t>
  </si>
  <si>
    <t xml:space="preserve">flag_or_note</t>
  </si>
  <si>
    <t xml:space="preserve">Green leafy vegetable shortage from SUP-204 forced a recipe substitution that dropped fortification compliance for ~55% of servings.</t>
  </si>
  <si>
    <t xml:space="preserve">C4 DAY2 MID-CYCLE REVERSAL TIMELINE (see Decision_Log_Aggregate root_cause for summary):</t>
  </si>
  <si>
    <t xml:space="preserve">05:30 - Production plan finalised: PRG-002 (Anganwadi, Tier 1) and PRG-005 (Pregnant &amp; Lactating, Tier 1) both scheduled to draw from the same 2,000kg fortified-rice stock pool, each planner unaware the other had claimed it.</t>
  </si>
  <si>
    <t xml:space="preserve">08:15 - PRG-002 production line draws 1,400kg fortified rice as planned.</t>
  </si>
  <si>
    <t xml:space="preserve">09:40 - PRG-005 line requests its allocated 900kg fortified rice; only 600kg remains. Shortfall discovered mid-cook, not at planning time.</t>
  </si>
  <si>
    <t xml:space="preserve">09:55 - DECISION REVERSED: PRG-005 batch already partially prepared with non-fortified rice base is scrapped; centre pivots to a reduced-fortification interim recipe pending emergency restock, and escalates to Regional Manager.</t>
  </si>
  <si>
    <t xml:space="preserve">11:30 - Emergency 500kg fortified rice delivery arranged from a neighbouring centre's buffer stock; PRG-005 resumes at 70% of planned volume, 2 hours behind schedule.</t>
  </si>
  <si>
    <t xml:space="preserve">Root cause: Fortified rice was tracked as a single undifferentiated stock line rather than being reserved per programme at planning time. The ingredient dependency between two Tier 1 recipes sharing one input was never made visible until the physical stock ran out on the line.</t>
  </si>
  <si>
    <t xml:space="preserve">capacity_utilisation</t>
  </si>
  <si>
    <t xml:space="preserve">programme_breakdown_ok</t>
  </si>
  <si>
    <t xml:space="preserve">flags</t>
  </si>
  <si>
    <t xml:space="preserve">Tier 1 programme PRG-002 under-produced by 14%, offset by over-producing Tier 3 PRG-001. Aggregate output (99.8% of plan) hides this.</t>
  </si>
  <si>
    <t xml:space="preserve">Same pattern repeats: Tier 1 PRG-002 shortfall widening (18%), masked by Tier 3 over-production. This is now a trend, not a one-off.</t>
  </si>
  <si>
    <t xml:space="preserve">EDGE CASE: 3-cycle trend of a Tier 1 (nutritionally critical, clinically tracked) programme being silently under-delivered while the centre reports 99.96% of aggregate target. A volume-only dashboard rates this centre as top-performing. Root cause: shared fortification-line capacity is being allocated to the larger, easier-to-produce Tier 3 programme first.</t>
  </si>
  <si>
    <t xml:space="preserve">EDGE CASE: demand surge (+35% order) exposed SUP-204 under load. Missed vegetable delivery cascaded directly into a Tier 1 programme shortfall. This was the first time this supplier was tested under surge conditions - two prior clean cycles gave no warning.</t>
  </si>
  <si>
    <t xml:space="preserve">EDGE CASE - MID-CYCLE REVERSAL: the value of this data point is not the shortfall itself but that the failure was invisible at planning time and only surfaced through physical depletion. A retrieval system checking 'is there 2,000kg of fortified rice' would have said yes - the actual failure was an allocation/reservation gap between two competing claims on the same input.</t>
  </si>
  <si>
    <t xml:space="preserve">Post-incident: centre now manually double-checks shared-ingredient allocation before finalising plan. No systemic fix yet - this is exactly the check the agent should automate.</t>
  </si>
  <si>
    <t xml:space="preserve">meals_required</t>
  </si>
  <si>
    <t xml:space="preserve">ingredient_item</t>
  </si>
  <si>
    <t xml:space="preserve">kg_required</t>
  </si>
  <si>
    <t xml:space="preserve">Fortified porridge mix</t>
  </si>
  <si>
    <t xml:space="preserve">Fortified rice</t>
  </si>
  <si>
    <t xml:space="preserve">Green leafy vegetables</t>
  </si>
  <si>
    <t xml:space="preserve">Volume raised vs prior cycles due to a newly added anemia-monitoring cohort - this is the second consecutive above-steady-state ask placed on SUP-204.</t>
  </si>
  <si>
    <t xml:space="preserve">SURGE: newly confirmed government order received last night expanding Mid-Day Meal coverage to 18 additional schools starting today. Not present in any prior planning cycle. Centre C5 base capacity is 42,000 meals/day; combined ask (34,000 + 12,000 = 46,000) is 109% of stated capacity.</t>
  </si>
  <si>
    <t xml:space="preserve">item</t>
  </si>
  <si>
    <t xml:space="preserve">on_hand_kg</t>
  </si>
  <si>
    <t xml:space="preserve">on_hand_units_note</t>
  </si>
  <si>
    <t xml:space="preserve">incoming_supplier_id</t>
  </si>
  <si>
    <t xml:space="preserve">incoming_expected_kg</t>
  </si>
  <si>
    <t xml:space="preserve">incoming_confidence</t>
  </si>
  <si>
    <t xml:space="preserve">confidence_basis_or_note</t>
  </si>
  <si>
    <t xml:space="preserve">high</t>
  </si>
  <si>
    <t xml:space="preserve">Shared fortification-line capacity</t>
  </si>
  <si>
    <t xml:space="preserve">1 line, ~5600 meal-equivalents/day max throughput</t>
  </si>
  <si>
    <t xml:space="preserve">This is the true constraint behind the Day1-3 PRG-002 shortfall - not an ingredient stockout, a shared-equipment ceiling that planning has been resolving in favour of the larger programme by default.</t>
  </si>
  <si>
    <t xml:space="preserve">LOW</t>
  </si>
  <si>
    <t xml:space="preserve">Pressure-adjusted reliability score 0.35 (see supplier file); this delivery volume (1900kg) exceeds the 1200kg steady-state commitment this supplier has ever cleanly met, and matches the load profile under which it failed last cycle.</t>
  </si>
  <si>
    <t xml:space="preserve">Combined draw today is PRG-002 (1400kg) + PRG-005 (900kg) = 2300kg against 2100kg on hand + 2100kg incoming. Nominally enough, but the Day2 incident shows this centre has no per-programme reservation - both lines will draw from one pool again unless the agent enforces a split allocation before production starts.</t>
  </si>
  <si>
    <t xml:space="preserve">Production line capacity</t>
  </si>
  <si>
    <t xml:space="preserve">42,000 meals/day steady-state ceiling</t>
  </si>
  <si>
    <t xml:space="preserve">Today's combined ask (PRG-001 34,000 + PRG-004 surge 12,000 = 46,000) exceeds this by ~4,000 meals. Ingredients are sufficient; the constraint is physical throughput, and it is the one constraint no ingredient-level check will ever catch.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</si>
</sst>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2" t="s">
        <v>23</v>
      </c>
    </row>
    <row r="28" customFormat="false" ht="15" hidden="false" customHeight="false" outlineLevel="0" collapsed="false">
      <c r="A28" s="2" t="s">
        <v>24</v>
      </c>
    </row>
    <row r="29" customFormat="false" ht="15" hidden="false" customHeight="false" outlineLevel="0" collapsed="false">
      <c r="A29" s="2" t="s">
        <v>25</v>
      </c>
    </row>
    <row r="30" customFormat="false" ht="15" hidden="false" customHeight="false" outlineLevel="0" collapsed="false">
      <c r="A30" s="2" t="s">
        <v>26</v>
      </c>
    </row>
    <row r="31" customFormat="false" ht="15" hidden="false" customHeight="false" outlineLevel="0" collapsed="false">
      <c r="A31" s="2" t="s">
        <v>27</v>
      </c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3" t="s">
        <v>28</v>
      </c>
    </row>
    <row r="34" customFormat="false" ht="15" hidden="false" customHeight="false" outlineLevel="0" collapsed="false">
      <c r="A34" s="2" t="s">
        <v>29</v>
      </c>
    </row>
    <row r="35" customFormat="false" ht="15" hidden="false" customHeight="false" outlineLevel="0" collapsed="false">
      <c r="A35" s="2" t="s">
        <v>30</v>
      </c>
    </row>
    <row r="36" customFormat="false" ht="15" hidden="false" customHeight="false" outlineLevel="0" collapsed="false">
      <c r="A36" s="2" t="s">
        <v>31</v>
      </c>
    </row>
    <row r="37" customFormat="false" ht="15" hidden="false" customHeight="false" outlineLevel="0" collapsed="false">
      <c r="A37" s="2" t="s">
        <v>32</v>
      </c>
    </row>
    <row r="38" customFormat="false" ht="15" hidden="false" customHeight="false" outlineLevel="0" collapsed="false">
      <c r="A38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48"/>
    <col collapsed="false" customWidth="true" hidden="false" outlineLevel="0" max="5" min="5" style="0" width="22"/>
    <col collapsed="false" customWidth="true" hidden="false" outlineLevel="0" max="6" min="6" style="0" width="48"/>
  </cols>
  <sheetData>
    <row r="1" customFormat="false" ht="26.85" hidden="false" customHeight="fals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</row>
    <row r="2" customFormat="false" ht="23.85" hidden="false" customHeight="false" outlineLevel="0" collapsed="false">
      <c r="A2" s="5" t="s">
        <v>40</v>
      </c>
      <c r="B2" s="5" t="s">
        <v>41</v>
      </c>
      <c r="C2" s="5" t="s">
        <v>42</v>
      </c>
      <c r="D2" s="6" t="s">
        <v>43</v>
      </c>
      <c r="E2" s="5" t="n">
        <v>34000</v>
      </c>
      <c r="F2" s="6" t="s">
        <v>44</v>
      </c>
    </row>
    <row r="3" customFormat="false" ht="35.05" hidden="false" customHeight="false" outlineLevel="0" collapsed="false">
      <c r="A3" s="5" t="s">
        <v>45</v>
      </c>
      <c r="B3" s="5" t="s">
        <v>46</v>
      </c>
      <c r="C3" s="5" t="s">
        <v>47</v>
      </c>
      <c r="D3" s="6" t="s">
        <v>48</v>
      </c>
      <c r="E3" s="5" t="n">
        <v>4200</v>
      </c>
      <c r="F3" s="6" t="s">
        <v>49</v>
      </c>
    </row>
    <row r="4" customFormat="false" ht="23.85" hidden="false" customHeight="false" outlineLevel="0" collapsed="false">
      <c r="A4" s="5" t="s">
        <v>50</v>
      </c>
      <c r="B4" s="5" t="s">
        <v>51</v>
      </c>
      <c r="C4" s="5" t="s">
        <v>47</v>
      </c>
      <c r="D4" s="6" t="s">
        <v>52</v>
      </c>
      <c r="E4" s="5" t="n">
        <v>1900</v>
      </c>
      <c r="F4" s="6" t="s">
        <v>53</v>
      </c>
    </row>
    <row r="5" customFormat="false" ht="23.85" hidden="false" customHeight="false" outlineLevel="0" collapsed="false">
      <c r="A5" s="5" t="s">
        <v>54</v>
      </c>
      <c r="B5" s="5" t="s">
        <v>55</v>
      </c>
      <c r="C5" s="5" t="s">
        <v>56</v>
      </c>
      <c r="D5" s="6" t="s">
        <v>57</v>
      </c>
      <c r="E5" s="5" t="n">
        <v>0</v>
      </c>
      <c r="F5" s="6" t="s">
        <v>58</v>
      </c>
    </row>
    <row r="6" customFormat="false" ht="23.85" hidden="false" customHeight="false" outlineLevel="0" collapsed="false">
      <c r="A6" s="5" t="s">
        <v>59</v>
      </c>
      <c r="B6" s="5" t="s">
        <v>60</v>
      </c>
      <c r="C6" s="5" t="s">
        <v>47</v>
      </c>
      <c r="D6" s="6" t="s">
        <v>61</v>
      </c>
      <c r="E6" s="5" t="n">
        <v>1500</v>
      </c>
      <c r="F6" s="6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5" min="4" style="0" width="48"/>
  </cols>
  <sheetData>
    <row r="1" customFormat="false" ht="26.85" hidden="false" customHeight="false" outlineLevel="0" collapsed="false">
      <c r="A1" s="4" t="s">
        <v>63</v>
      </c>
      <c r="B1" s="4" t="s">
        <v>35</v>
      </c>
      <c r="C1" s="4" t="s">
        <v>64</v>
      </c>
      <c r="D1" s="4" t="s">
        <v>65</v>
      </c>
      <c r="E1" s="4" t="s">
        <v>66</v>
      </c>
    </row>
    <row r="2" customFormat="false" ht="15" hidden="false" customHeight="false" outlineLevel="0" collapsed="false">
      <c r="A2" s="5" t="s">
        <v>67</v>
      </c>
      <c r="B2" s="5" t="s">
        <v>68</v>
      </c>
      <c r="C2" s="5" t="n">
        <v>50000</v>
      </c>
      <c r="D2" s="6" t="s">
        <v>69</v>
      </c>
      <c r="E2" s="6" t="s">
        <v>70</v>
      </c>
    </row>
    <row r="3" customFormat="false" ht="23.85" hidden="false" customHeight="false" outlineLevel="0" collapsed="false">
      <c r="A3" s="5" t="s">
        <v>71</v>
      </c>
      <c r="B3" s="5" t="s">
        <v>72</v>
      </c>
      <c r="C3" s="5" t="n">
        <v>50000</v>
      </c>
      <c r="D3" s="6" t="s">
        <v>73</v>
      </c>
      <c r="E3" s="6" t="s">
        <v>74</v>
      </c>
    </row>
    <row r="4" customFormat="false" ht="23.85" hidden="false" customHeight="false" outlineLevel="0" collapsed="false">
      <c r="A4" s="5" t="s">
        <v>75</v>
      </c>
      <c r="B4" s="5" t="s">
        <v>76</v>
      </c>
      <c r="C4" s="5" t="n">
        <v>45000</v>
      </c>
      <c r="D4" s="6" t="s">
        <v>77</v>
      </c>
      <c r="E4" s="6" t="s">
        <v>78</v>
      </c>
    </row>
    <row r="5" customFormat="false" ht="35.05" hidden="false" customHeight="false" outlineLevel="0" collapsed="false">
      <c r="A5" s="5" t="s">
        <v>79</v>
      </c>
      <c r="B5" s="5" t="s">
        <v>80</v>
      </c>
      <c r="C5" s="5" t="n">
        <v>38000</v>
      </c>
      <c r="D5" s="6" t="s">
        <v>81</v>
      </c>
      <c r="E5" s="6" t="s">
        <v>82</v>
      </c>
    </row>
    <row r="6" customFormat="false" ht="23.85" hidden="false" customHeight="false" outlineLevel="0" collapsed="false">
      <c r="A6" s="5" t="s">
        <v>83</v>
      </c>
      <c r="B6" s="5" t="s">
        <v>84</v>
      </c>
      <c r="C6" s="5" t="n">
        <v>42000</v>
      </c>
      <c r="D6" s="6" t="s">
        <v>85</v>
      </c>
      <c r="E6" s="6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48"/>
    <col collapsed="false" customWidth="true" hidden="false" outlineLevel="0" max="11" min="4" style="0" width="22"/>
    <col collapsed="false" customWidth="true" hidden="false" outlineLevel="0" max="12" min="12" style="0" width="48"/>
  </cols>
  <sheetData>
    <row r="1" customFormat="false" ht="15" hidden="false" customHeight="false" outlineLevel="0" collapsed="false">
      <c r="A1" s="4" t="s">
        <v>87</v>
      </c>
      <c r="B1" s="4" t="s">
        <v>88</v>
      </c>
      <c r="C1" s="4" t="s">
        <v>89</v>
      </c>
      <c r="D1" s="4" t="s">
        <v>90</v>
      </c>
      <c r="E1" s="4" t="s">
        <v>91</v>
      </c>
      <c r="F1" s="4" t="s">
        <v>92</v>
      </c>
      <c r="G1" s="4" t="s">
        <v>93</v>
      </c>
      <c r="H1" s="4" t="s">
        <v>94</v>
      </c>
      <c r="I1" s="4" t="s">
        <v>95</v>
      </c>
      <c r="J1" s="4" t="s">
        <v>96</v>
      </c>
      <c r="K1" s="4" t="s">
        <v>97</v>
      </c>
      <c r="L1" s="4" t="s">
        <v>98</v>
      </c>
    </row>
    <row r="2" customFormat="false" ht="15" hidden="false" customHeight="false" outlineLevel="0" collapsed="false">
      <c r="A2" s="5" t="s">
        <v>99</v>
      </c>
      <c r="B2" s="5" t="s">
        <v>100</v>
      </c>
      <c r="C2" s="6" t="s">
        <v>101</v>
      </c>
      <c r="D2" s="5" t="s">
        <v>67</v>
      </c>
      <c r="E2" s="5" t="s">
        <v>102</v>
      </c>
      <c r="F2" s="5" t="n">
        <v>8000</v>
      </c>
      <c r="G2" s="5" t="n">
        <v>8000</v>
      </c>
      <c r="H2" s="7" t="b">
        <f aca="false">TRUE()</f>
        <v>1</v>
      </c>
      <c r="I2" s="7" t="b">
        <f aca="false">TRUE()</f>
        <v>1</v>
      </c>
      <c r="J2" s="5"/>
      <c r="K2" s="8" t="n">
        <f aca="false">G2/F2</f>
        <v>1</v>
      </c>
      <c r="L2" s="6"/>
    </row>
    <row r="3" customFormat="false" ht="15" hidden="false" customHeight="false" outlineLevel="0" collapsed="false">
      <c r="A3" s="5" t="s">
        <v>99</v>
      </c>
      <c r="B3" s="5" t="s">
        <v>100</v>
      </c>
      <c r="C3" s="6" t="s">
        <v>101</v>
      </c>
      <c r="D3" s="5" t="s">
        <v>67</v>
      </c>
      <c r="E3" s="5" t="s">
        <v>103</v>
      </c>
      <c r="F3" s="5" t="n">
        <v>8000</v>
      </c>
      <c r="G3" s="5" t="n">
        <v>8000</v>
      </c>
      <c r="H3" s="7" t="b">
        <f aca="false">TRUE()</f>
        <v>1</v>
      </c>
      <c r="I3" s="7" t="b">
        <f aca="false">TRUE()</f>
        <v>1</v>
      </c>
      <c r="J3" s="5"/>
      <c r="K3" s="8" t="n">
        <f aca="false">G3/F3</f>
        <v>1</v>
      </c>
      <c r="L3" s="6"/>
    </row>
    <row r="4" customFormat="false" ht="15" hidden="false" customHeight="false" outlineLevel="0" collapsed="false">
      <c r="A4" s="5" t="s">
        <v>99</v>
      </c>
      <c r="B4" s="5" t="s">
        <v>100</v>
      </c>
      <c r="C4" s="6" t="s">
        <v>101</v>
      </c>
      <c r="D4" s="5" t="s">
        <v>67</v>
      </c>
      <c r="E4" s="5" t="s">
        <v>104</v>
      </c>
      <c r="F4" s="5" t="n">
        <v>8200</v>
      </c>
      <c r="G4" s="5" t="n">
        <v>8200</v>
      </c>
      <c r="H4" s="7" t="b">
        <f aca="false">TRUE()</f>
        <v>1</v>
      </c>
      <c r="I4" s="7" t="b">
        <f aca="false">TRUE()</f>
        <v>1</v>
      </c>
      <c r="J4" s="5"/>
      <c r="K4" s="8" t="n">
        <f aca="false">G4/F4</f>
        <v>1</v>
      </c>
      <c r="L4" s="6"/>
    </row>
    <row r="5" customFormat="false" ht="23.85" hidden="false" customHeight="false" outlineLevel="0" collapsed="false">
      <c r="A5" s="5" t="s">
        <v>105</v>
      </c>
      <c r="B5" s="5" t="s">
        <v>106</v>
      </c>
      <c r="C5" s="6" t="s">
        <v>107</v>
      </c>
      <c r="D5" s="5" t="s">
        <v>75</v>
      </c>
      <c r="E5" s="5" t="s">
        <v>102</v>
      </c>
      <c r="F5" s="5" t="n">
        <v>1200</v>
      </c>
      <c r="G5" s="5" t="n">
        <v>1200</v>
      </c>
      <c r="H5" s="7" t="b">
        <f aca="false">TRUE()</f>
        <v>1</v>
      </c>
      <c r="I5" s="7" t="b">
        <f aca="false">TRUE()</f>
        <v>1</v>
      </c>
      <c r="J5" s="5" t="s">
        <v>108</v>
      </c>
      <c r="K5" s="8" t="n">
        <f aca="false">G5/F5</f>
        <v>1</v>
      </c>
      <c r="L5" s="6"/>
    </row>
    <row r="6" customFormat="false" ht="23.85" hidden="false" customHeight="false" outlineLevel="0" collapsed="false">
      <c r="A6" s="5" t="s">
        <v>105</v>
      </c>
      <c r="B6" s="5" t="s">
        <v>106</v>
      </c>
      <c r="C6" s="6" t="s">
        <v>107</v>
      </c>
      <c r="D6" s="5" t="s">
        <v>75</v>
      </c>
      <c r="E6" s="5" t="s">
        <v>103</v>
      </c>
      <c r="F6" s="5" t="n">
        <v>1200</v>
      </c>
      <c r="G6" s="5" t="n">
        <v>1180</v>
      </c>
      <c r="H6" s="7" t="b">
        <f aca="false">TRUE()</f>
        <v>1</v>
      </c>
      <c r="I6" s="7" t="b">
        <f aca="false">TRUE()</f>
        <v>1</v>
      </c>
      <c r="J6" s="5" t="s">
        <v>108</v>
      </c>
      <c r="K6" s="8" t="n">
        <f aca="false">G6/F6</f>
        <v>0.983333333333333</v>
      </c>
      <c r="L6" s="6"/>
    </row>
    <row r="7" customFormat="false" ht="46.25" hidden="false" customHeight="false" outlineLevel="0" collapsed="false">
      <c r="A7" s="5" t="s">
        <v>105</v>
      </c>
      <c r="B7" s="5" t="s">
        <v>106</v>
      </c>
      <c r="C7" s="6" t="s">
        <v>107</v>
      </c>
      <c r="D7" s="5" t="s">
        <v>75</v>
      </c>
      <c r="E7" s="5" t="s">
        <v>104</v>
      </c>
      <c r="F7" s="5" t="n">
        <v>1900</v>
      </c>
      <c r="G7" s="5" t="n">
        <v>900</v>
      </c>
      <c r="H7" s="7" t="b">
        <f aca="false">FALSE()</f>
        <v>0</v>
      </c>
      <c r="I7" s="7" t="b">
        <f aca="false">TRUE()</f>
        <v>1</v>
      </c>
      <c r="J7" s="5" t="s">
        <v>109</v>
      </c>
      <c r="K7" s="8" t="n">
        <f aca="false">G7/F7</f>
        <v>0.473684210526316</v>
      </c>
      <c r="L7" s="6" t="s">
        <v>110</v>
      </c>
    </row>
    <row r="8" customFormat="false" ht="15" hidden="false" customHeight="false" outlineLevel="0" collapsed="false">
      <c r="A8" s="5" t="s">
        <v>111</v>
      </c>
      <c r="B8" s="5" t="s">
        <v>112</v>
      </c>
      <c r="C8" s="6" t="s">
        <v>113</v>
      </c>
      <c r="D8" s="5" t="s">
        <v>114</v>
      </c>
      <c r="E8" s="5" t="s">
        <v>102</v>
      </c>
      <c r="F8" s="5" t="n">
        <v>3000</v>
      </c>
      <c r="G8" s="5" t="n">
        <v>3000</v>
      </c>
      <c r="H8" s="7" t="b">
        <f aca="false">TRUE()</f>
        <v>1</v>
      </c>
      <c r="I8" s="7" t="b">
        <f aca="false">TRUE()</f>
        <v>1</v>
      </c>
      <c r="J8" s="5"/>
      <c r="K8" s="8" t="n">
        <f aca="false">G8/F8</f>
        <v>1</v>
      </c>
      <c r="L8" s="6"/>
    </row>
    <row r="9" customFormat="false" ht="15" hidden="false" customHeight="false" outlineLevel="0" collapsed="false">
      <c r="A9" s="5" t="s">
        <v>111</v>
      </c>
      <c r="B9" s="5" t="s">
        <v>112</v>
      </c>
      <c r="C9" s="6" t="s">
        <v>113</v>
      </c>
      <c r="D9" s="5" t="s">
        <v>114</v>
      </c>
      <c r="E9" s="5" t="s">
        <v>103</v>
      </c>
      <c r="F9" s="5" t="n">
        <v>3000</v>
      </c>
      <c r="G9" s="5" t="n">
        <v>3000</v>
      </c>
      <c r="H9" s="7" t="b">
        <f aca="false">TRUE()</f>
        <v>1</v>
      </c>
      <c r="I9" s="7" t="b">
        <f aca="false">TRUE()</f>
        <v>1</v>
      </c>
      <c r="J9" s="5"/>
      <c r="K9" s="8" t="n">
        <f aca="false">G9/F9</f>
        <v>1</v>
      </c>
      <c r="L9" s="6"/>
    </row>
    <row r="10" customFormat="false" ht="15" hidden="false" customHeight="false" outlineLevel="0" collapsed="false">
      <c r="A10" s="5" t="s">
        <v>111</v>
      </c>
      <c r="B10" s="5" t="s">
        <v>112</v>
      </c>
      <c r="C10" s="6" t="s">
        <v>113</v>
      </c>
      <c r="D10" s="5" t="s">
        <v>114</v>
      </c>
      <c r="E10" s="5" t="s">
        <v>104</v>
      </c>
      <c r="F10" s="5" t="n">
        <v>3100</v>
      </c>
      <c r="G10" s="5" t="n">
        <v>3100</v>
      </c>
      <c r="H10" s="7" t="b">
        <f aca="false">TRUE()</f>
        <v>1</v>
      </c>
      <c r="I10" s="7" t="b">
        <f aca="false">TRUE()</f>
        <v>1</v>
      </c>
      <c r="J10" s="5"/>
      <c r="K10" s="8" t="n">
        <f aca="false">G10/F10</f>
        <v>1</v>
      </c>
      <c r="L10" s="6"/>
    </row>
    <row r="11" customFormat="false" ht="23.85" hidden="false" customHeight="false" outlineLevel="0" collapsed="false">
      <c r="A11" s="5" t="s">
        <v>115</v>
      </c>
      <c r="B11" s="5" t="s">
        <v>116</v>
      </c>
      <c r="C11" s="6" t="s">
        <v>117</v>
      </c>
      <c r="D11" s="5" t="s">
        <v>79</v>
      </c>
      <c r="E11" s="5" t="s">
        <v>102</v>
      </c>
      <c r="F11" s="5" t="n">
        <v>2000</v>
      </c>
      <c r="G11" s="5" t="n">
        <v>2000</v>
      </c>
      <c r="H11" s="7" t="b">
        <f aca="false">TRUE()</f>
        <v>1</v>
      </c>
      <c r="I11" s="7" t="b">
        <f aca="false">TRUE()</f>
        <v>1</v>
      </c>
      <c r="J11" s="5"/>
      <c r="K11" s="8" t="n">
        <f aca="false">G11/F11</f>
        <v>1</v>
      </c>
      <c r="L11" s="6"/>
    </row>
    <row r="12" customFormat="false" ht="35.05" hidden="false" customHeight="false" outlineLevel="0" collapsed="false">
      <c r="A12" s="5" t="s">
        <v>115</v>
      </c>
      <c r="B12" s="5" t="s">
        <v>116</v>
      </c>
      <c r="C12" s="6" t="s">
        <v>117</v>
      </c>
      <c r="D12" s="5" t="s">
        <v>79</v>
      </c>
      <c r="E12" s="5" t="s">
        <v>103</v>
      </c>
      <c r="F12" s="5" t="n">
        <v>2000</v>
      </c>
      <c r="G12" s="5" t="n">
        <v>2000</v>
      </c>
      <c r="H12" s="7" t="b">
        <f aca="false">TRUE()</f>
        <v>1</v>
      </c>
      <c r="I12" s="7" t="b">
        <f aca="false">TRUE()</f>
        <v>1</v>
      </c>
      <c r="J12" s="5"/>
      <c r="K12" s="8" t="n">
        <f aca="false">G12/F12</f>
        <v>1</v>
      </c>
      <c r="L12" s="6" t="s">
        <v>118</v>
      </c>
    </row>
    <row r="13" customFormat="false" ht="23.85" hidden="false" customHeight="false" outlineLevel="0" collapsed="false">
      <c r="A13" s="5" t="s">
        <v>115</v>
      </c>
      <c r="B13" s="5" t="s">
        <v>116</v>
      </c>
      <c r="C13" s="6" t="s">
        <v>117</v>
      </c>
      <c r="D13" s="5" t="s">
        <v>79</v>
      </c>
      <c r="E13" s="5" t="s">
        <v>104</v>
      </c>
      <c r="F13" s="5" t="n">
        <v>2100</v>
      </c>
      <c r="G13" s="5" t="n">
        <v>2100</v>
      </c>
      <c r="H13" s="7" t="b">
        <f aca="false">TRUE()</f>
        <v>1</v>
      </c>
      <c r="I13" s="7" t="b">
        <f aca="false">TRUE()</f>
        <v>1</v>
      </c>
      <c r="J13" s="5"/>
      <c r="K13" s="8" t="n">
        <f aca="false">G13/F13</f>
        <v>1</v>
      </c>
      <c r="L1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  <col collapsed="false" customWidth="true" hidden="false" outlineLevel="0" max="7" min="7" style="0" width="48"/>
  </cols>
  <sheetData>
    <row r="1" customFormat="false" ht="26.85" hidden="false" customHeight="false" outlineLevel="0" collapsed="false">
      <c r="A1" s="4" t="s">
        <v>87</v>
      </c>
      <c r="B1" s="4" t="s">
        <v>88</v>
      </c>
      <c r="C1" s="4" t="s">
        <v>119</v>
      </c>
      <c r="D1" s="4" t="s">
        <v>120</v>
      </c>
      <c r="E1" s="4" t="s">
        <v>121</v>
      </c>
      <c r="F1" s="4" t="s">
        <v>122</v>
      </c>
      <c r="G1" s="4" t="s">
        <v>123</v>
      </c>
    </row>
    <row r="2" customFormat="false" ht="15" hidden="false" customHeight="false" outlineLevel="0" collapsed="false">
      <c r="A2" s="5" t="s">
        <v>99</v>
      </c>
      <c r="B2" s="5" t="s">
        <v>100</v>
      </c>
      <c r="C2" s="8" t="n">
        <f aca="false">AVERAGEIF(Supplier_Delivery_History!$A$2:$A$13,A2,Supplier_Delivery_History!$K$2:$K$13)</f>
        <v>1</v>
      </c>
      <c r="D2" s="8" t="n">
        <f aca="false">IFERROR(AVERAGEIFS(Supplier_Delivery_History!$K$2:$K$13,Supplier_Delivery_History!$A$2:$A$13,A2,Supplier_Delivery_History!$J$2:$J$13,"*surge*"),C2)</f>
        <v>1</v>
      </c>
      <c r="E2" s="7" t="b">
        <f aca="false">IFERROR(IF(AVERAGEIFS(Supplier_Delivery_History!$K$2:$K$13,Supplier_Delivery_History!$A$2:$A$13,A2,Supplier_Delivery_History!$J$2:$J$13,"*surge*")&lt;&gt;"",TRUE(),FALSE()),FALSE())</f>
        <v>0</v>
      </c>
      <c r="F2" s="5" t="str">
        <f aca="false">IF(D2&lt;0.6,"HIGH RISK",IF(D2&lt;0.8,"WATCH","OK"))</f>
        <v>OK</v>
      </c>
      <c r="G2" s="6" t="s">
        <v>124</v>
      </c>
    </row>
    <row r="3" customFormat="false" ht="57.45" hidden="false" customHeight="false" outlineLevel="0" collapsed="false">
      <c r="A3" s="5" t="s">
        <v>105</v>
      </c>
      <c r="B3" s="5" t="s">
        <v>106</v>
      </c>
      <c r="C3" s="8" t="n">
        <f aca="false">AVERAGEIF(Supplier_Delivery_History!$A$2:$A$13,A3,Supplier_Delivery_History!$K$2:$K$13)</f>
        <v>0.819005847953216</v>
      </c>
      <c r="D3" s="8" t="n">
        <f aca="false">IFERROR(AVERAGEIFS(Supplier_Delivery_History!$K$2:$K$13,Supplier_Delivery_History!$A$2:$A$13,A3,Supplier_Delivery_History!$J$2:$J$13,"*surge*"),C3)</f>
        <v>0.473684210526316</v>
      </c>
      <c r="E3" s="7" t="b">
        <f aca="false">IFERROR(IF(AVERAGEIFS(Supplier_Delivery_History!$K$2:$K$13,Supplier_Delivery_History!$A$2:$A$13,A3,Supplier_Delivery_History!$J$2:$J$13,"*surge*")&lt;&gt;"",TRUE(),FALSE()),FALSE())</f>
        <v>1</v>
      </c>
      <c r="F3" s="5" t="str">
        <f aca="false">IF(D3&lt;0.6,"HIGH RISK",IF(D3&lt;0.8,"WATCH","OK"))</f>
        <v>HIGH RISK</v>
      </c>
      <c r="G3" s="6" t="s">
        <v>125</v>
      </c>
    </row>
    <row r="4" customFormat="false" ht="15" hidden="false" customHeight="false" outlineLevel="0" collapsed="false">
      <c r="A4" s="5" t="s">
        <v>111</v>
      </c>
      <c r="B4" s="5" t="s">
        <v>112</v>
      </c>
      <c r="C4" s="8" t="n">
        <f aca="false">AVERAGEIF(Supplier_Delivery_History!$A$2:$A$13,A4,Supplier_Delivery_History!$K$2:$K$13)</f>
        <v>1</v>
      </c>
      <c r="D4" s="8" t="n">
        <f aca="false">IFERROR(AVERAGEIFS(Supplier_Delivery_History!$K$2:$K$13,Supplier_Delivery_History!$A$2:$A$13,A4,Supplier_Delivery_History!$J$2:$J$13,"*surge*"),C4)</f>
        <v>1</v>
      </c>
      <c r="E4" s="7" t="b">
        <f aca="false">IFERROR(IF(AVERAGEIFS(Supplier_Delivery_History!$K$2:$K$13,Supplier_Delivery_History!$A$2:$A$13,A4,Supplier_Delivery_History!$J$2:$J$13,"*surge*")&lt;&gt;"",TRUE(),FALSE()),FALSE())</f>
        <v>0</v>
      </c>
      <c r="F4" s="5" t="str">
        <f aca="false">IF(D4&lt;0.6,"HIGH RISK",IF(D4&lt;0.8,"WATCH","OK"))</f>
        <v>OK</v>
      </c>
      <c r="G4" s="6" t="s">
        <v>124</v>
      </c>
    </row>
    <row r="5" customFormat="false" ht="46.25" hidden="false" customHeight="false" outlineLevel="0" collapsed="false">
      <c r="A5" s="5" t="s">
        <v>115</v>
      </c>
      <c r="B5" s="5" t="s">
        <v>116</v>
      </c>
      <c r="C5" s="8" t="n">
        <f aca="false">AVERAGEIF(Supplier_Delivery_History!$A$2:$A$13,A5,Supplier_Delivery_History!$K$2:$K$13)</f>
        <v>1</v>
      </c>
      <c r="D5" s="8" t="n">
        <f aca="false">IFERROR(AVERAGEIFS(Supplier_Delivery_History!$K$2:$K$13,Supplier_Delivery_History!$A$2:$A$13,A5,Supplier_Delivery_History!$J$2:$J$13,"*surge*"),C5)</f>
        <v>1</v>
      </c>
      <c r="E5" s="7" t="b">
        <f aca="false">IFERROR(IF(AVERAGEIFS(Supplier_Delivery_History!$K$2:$K$13,Supplier_Delivery_History!$A$2:$A$13,A5,Supplier_Delivery_History!$J$2:$J$13,"*surge*")&lt;&gt;"",TRUE(),FALSE()),FALSE())</f>
        <v>0</v>
      </c>
      <c r="F5" s="5" t="str">
        <f aca="false">IF(D5&lt;0.6,"HIGH RISK",IF(D5&lt;0.8,"WATCH","OK"))</f>
        <v>OK</v>
      </c>
      <c r="G5" s="6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  <col collapsed="false" customWidth="true" hidden="false" outlineLevel="0" max="7" min="7" style="0" width="48"/>
  </cols>
  <sheetData>
    <row r="1" customFormat="false" ht="15" hidden="false" customHeight="false" outlineLevel="0" collapsed="false">
      <c r="A1" s="4" t="s">
        <v>63</v>
      </c>
      <c r="B1" s="4" t="s">
        <v>91</v>
      </c>
      <c r="C1" s="4" t="s">
        <v>34</v>
      </c>
      <c r="D1" s="4" t="s">
        <v>127</v>
      </c>
      <c r="E1" s="4" t="s">
        <v>128</v>
      </c>
      <c r="F1" s="4" t="s">
        <v>129</v>
      </c>
      <c r="G1" s="4" t="s">
        <v>130</v>
      </c>
    </row>
    <row r="2" customFormat="false" ht="15" hidden="false" customHeight="false" outlineLevel="0" collapsed="false">
      <c r="A2" s="5" t="s">
        <v>71</v>
      </c>
      <c r="B2" s="5" t="s">
        <v>102</v>
      </c>
      <c r="C2" s="5" t="s">
        <v>40</v>
      </c>
      <c r="D2" s="5" t="n">
        <v>34000</v>
      </c>
      <c r="E2" s="5" t="n">
        <v>34500</v>
      </c>
      <c r="F2" s="8" t="n">
        <f aca="false">E2/D2</f>
        <v>1.01470588235294</v>
      </c>
      <c r="G2" s="6"/>
    </row>
    <row r="3" customFormat="false" ht="15" hidden="false" customHeight="false" outlineLevel="0" collapsed="false">
      <c r="A3" s="5" t="s">
        <v>71</v>
      </c>
      <c r="B3" s="5" t="s">
        <v>102</v>
      </c>
      <c r="C3" s="5" t="s">
        <v>45</v>
      </c>
      <c r="D3" s="5" t="n">
        <v>4200</v>
      </c>
      <c r="E3" s="5" t="n">
        <v>3600</v>
      </c>
      <c r="F3" s="8" t="n">
        <f aca="false">E3/D3</f>
        <v>0.857142857142857</v>
      </c>
      <c r="G3" s="6"/>
    </row>
    <row r="4" customFormat="false" ht="15" hidden="false" customHeight="false" outlineLevel="0" collapsed="false">
      <c r="A4" s="5" t="s">
        <v>71</v>
      </c>
      <c r="B4" s="5" t="s">
        <v>102</v>
      </c>
      <c r="C4" s="5" t="s">
        <v>50</v>
      </c>
      <c r="D4" s="5" t="n">
        <v>1900</v>
      </c>
      <c r="E4" s="5" t="n">
        <v>1900</v>
      </c>
      <c r="F4" s="8" t="n">
        <f aca="false">E4/D4</f>
        <v>1</v>
      </c>
      <c r="G4" s="6"/>
    </row>
    <row r="5" customFormat="false" ht="15" hidden="false" customHeight="false" outlineLevel="0" collapsed="false">
      <c r="A5" s="5" t="s">
        <v>71</v>
      </c>
      <c r="B5" s="5" t="s">
        <v>103</v>
      </c>
      <c r="C5" s="5" t="s">
        <v>40</v>
      </c>
      <c r="D5" s="5" t="n">
        <v>34200</v>
      </c>
      <c r="E5" s="5" t="n">
        <v>34700</v>
      </c>
      <c r="F5" s="8" t="n">
        <f aca="false">E5/D5</f>
        <v>1.01461988304094</v>
      </c>
      <c r="G5" s="6"/>
    </row>
    <row r="6" customFormat="false" ht="15" hidden="false" customHeight="false" outlineLevel="0" collapsed="false">
      <c r="A6" s="5" t="s">
        <v>71</v>
      </c>
      <c r="B6" s="5" t="s">
        <v>103</v>
      </c>
      <c r="C6" s="5" t="s">
        <v>45</v>
      </c>
      <c r="D6" s="5" t="n">
        <v>4200</v>
      </c>
      <c r="E6" s="5" t="n">
        <v>3450</v>
      </c>
      <c r="F6" s="8" t="n">
        <f aca="false">E6/D6</f>
        <v>0.821428571428571</v>
      </c>
      <c r="G6" s="6"/>
    </row>
    <row r="7" customFormat="false" ht="15" hidden="false" customHeight="false" outlineLevel="0" collapsed="false">
      <c r="A7" s="5" t="s">
        <v>71</v>
      </c>
      <c r="B7" s="5" t="s">
        <v>103</v>
      </c>
      <c r="C7" s="5" t="s">
        <v>50</v>
      </c>
      <c r="D7" s="5" t="n">
        <v>1900</v>
      </c>
      <c r="E7" s="5" t="n">
        <v>1900</v>
      </c>
      <c r="F7" s="8" t="n">
        <f aca="false">E7/D7</f>
        <v>1</v>
      </c>
      <c r="G7" s="6"/>
    </row>
    <row r="8" customFormat="false" ht="15" hidden="false" customHeight="false" outlineLevel="0" collapsed="false">
      <c r="A8" s="5" t="s">
        <v>71</v>
      </c>
      <c r="B8" s="5" t="s">
        <v>104</v>
      </c>
      <c r="C8" s="5" t="s">
        <v>40</v>
      </c>
      <c r="D8" s="5" t="n">
        <v>34000</v>
      </c>
      <c r="E8" s="5" t="n">
        <v>34600</v>
      </c>
      <c r="F8" s="8" t="n">
        <f aca="false">E8/D8</f>
        <v>1.01764705882353</v>
      </c>
      <c r="G8" s="6"/>
    </row>
    <row r="9" customFormat="false" ht="15" hidden="false" customHeight="false" outlineLevel="0" collapsed="false">
      <c r="A9" s="5" t="s">
        <v>71</v>
      </c>
      <c r="B9" s="5" t="s">
        <v>104</v>
      </c>
      <c r="C9" s="5" t="s">
        <v>45</v>
      </c>
      <c r="D9" s="5" t="n">
        <v>4200</v>
      </c>
      <c r="E9" s="5" t="n">
        <v>3300</v>
      </c>
      <c r="F9" s="8" t="n">
        <f aca="false">E9/D9</f>
        <v>0.785714285714286</v>
      </c>
      <c r="G9" s="6"/>
    </row>
    <row r="10" customFormat="false" ht="15" hidden="false" customHeight="false" outlineLevel="0" collapsed="false">
      <c r="A10" s="5" t="s">
        <v>71</v>
      </c>
      <c r="B10" s="5" t="s">
        <v>104</v>
      </c>
      <c r="C10" s="5" t="s">
        <v>50</v>
      </c>
      <c r="D10" s="5" t="n">
        <v>1900</v>
      </c>
      <c r="E10" s="5" t="n">
        <v>1900</v>
      </c>
      <c r="F10" s="8" t="n">
        <f aca="false">E10/D10</f>
        <v>1</v>
      </c>
      <c r="G10" s="6"/>
    </row>
    <row r="11" customFormat="false" ht="35.05" hidden="false" customHeight="false" outlineLevel="0" collapsed="false">
      <c r="A11" s="5" t="s">
        <v>75</v>
      </c>
      <c r="B11" s="5" t="s">
        <v>104</v>
      </c>
      <c r="C11" s="5" t="s">
        <v>45</v>
      </c>
      <c r="D11" s="5" t="n">
        <v>4200</v>
      </c>
      <c r="E11" s="5" t="n">
        <v>1900</v>
      </c>
      <c r="F11" s="8" t="n">
        <f aca="false">E11/D11</f>
        <v>0.452380952380952</v>
      </c>
      <c r="G11" s="6" t="s">
        <v>131</v>
      </c>
    </row>
    <row r="13" customFormat="false" ht="15" hidden="false" customHeight="false" outlineLevel="0" collapsed="false">
      <c r="A13" s="9" t="s">
        <v>132</v>
      </c>
    </row>
    <row r="14" customFormat="false" ht="15" hidden="false" customHeight="false" outlineLevel="0" collapsed="false">
      <c r="A14" s="2" t="s">
        <v>133</v>
      </c>
    </row>
    <row r="15" customFormat="false" ht="15" hidden="false" customHeight="false" outlineLevel="0" collapsed="false">
      <c r="A15" s="2" t="s">
        <v>134</v>
      </c>
    </row>
    <row r="16" customFormat="false" ht="15" hidden="false" customHeight="false" outlineLevel="0" collapsed="false">
      <c r="A16" s="2" t="s">
        <v>135</v>
      </c>
    </row>
    <row r="17" customFormat="false" ht="15" hidden="false" customHeight="false" outlineLevel="0" collapsed="false">
      <c r="A17" s="2" t="s">
        <v>136</v>
      </c>
    </row>
    <row r="18" customFormat="false" ht="15" hidden="false" customHeight="false" outlineLevel="0" collapsed="false">
      <c r="A18" s="2" t="s">
        <v>137</v>
      </c>
    </row>
    <row r="20" customFormat="false" ht="15" hidden="false" customHeight="false" outlineLevel="0" collapsed="false">
      <c r="A20" s="10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  <col collapsed="false" customWidth="true" hidden="false" outlineLevel="0" max="7" min="7" style="0" width="48"/>
  </cols>
  <sheetData>
    <row r="1" customFormat="false" ht="26.85" hidden="false" customHeight="false" outlineLevel="0" collapsed="false">
      <c r="A1" s="4" t="s">
        <v>63</v>
      </c>
      <c r="B1" s="4" t="s">
        <v>91</v>
      </c>
      <c r="C1" s="4" t="s">
        <v>127</v>
      </c>
      <c r="D1" s="4" t="s">
        <v>128</v>
      </c>
      <c r="E1" s="4" t="s">
        <v>139</v>
      </c>
      <c r="F1" s="4" t="s">
        <v>140</v>
      </c>
      <c r="G1" s="4" t="s">
        <v>141</v>
      </c>
    </row>
    <row r="2" customFormat="false" ht="15" hidden="false" customHeight="false" outlineLevel="0" collapsed="false">
      <c r="A2" s="5" t="s">
        <v>67</v>
      </c>
      <c r="B2" s="5" t="s">
        <v>102</v>
      </c>
      <c r="C2" s="5" t="n">
        <v>49500</v>
      </c>
      <c r="D2" s="5" t="n">
        <v>49400</v>
      </c>
      <c r="E2" s="8" t="n">
        <v>0.988</v>
      </c>
      <c r="F2" s="7" t="b">
        <f aca="false">TRUE()</f>
        <v>1</v>
      </c>
      <c r="G2" s="6"/>
    </row>
    <row r="3" customFormat="false" ht="15" hidden="false" customHeight="false" outlineLevel="0" collapsed="false">
      <c r="A3" s="5" t="s">
        <v>67</v>
      </c>
      <c r="B3" s="5" t="s">
        <v>103</v>
      </c>
      <c r="C3" s="5" t="n">
        <v>49800</v>
      </c>
      <c r="D3" s="5" t="n">
        <v>49700</v>
      </c>
      <c r="E3" s="8" t="n">
        <v>0.994</v>
      </c>
      <c r="F3" s="7" t="b">
        <f aca="false">TRUE()</f>
        <v>1</v>
      </c>
      <c r="G3" s="6"/>
    </row>
    <row r="4" customFormat="false" ht="15" hidden="false" customHeight="false" outlineLevel="0" collapsed="false">
      <c r="A4" s="5" t="s">
        <v>67</v>
      </c>
      <c r="B4" s="5" t="s">
        <v>104</v>
      </c>
      <c r="C4" s="5" t="n">
        <v>49600</v>
      </c>
      <c r="D4" s="5" t="n">
        <v>49600</v>
      </c>
      <c r="E4" s="8" t="n">
        <v>0.992</v>
      </c>
      <c r="F4" s="7" t="b">
        <f aca="false">TRUE()</f>
        <v>1</v>
      </c>
      <c r="G4" s="6"/>
    </row>
    <row r="5" customFormat="false" ht="35.05" hidden="false" customHeight="false" outlineLevel="0" collapsed="false">
      <c r="A5" s="5" t="s">
        <v>71</v>
      </c>
      <c r="B5" s="5" t="s">
        <v>102</v>
      </c>
      <c r="C5" s="5" t="n">
        <v>49000</v>
      </c>
      <c r="D5" s="5" t="n">
        <v>48900</v>
      </c>
      <c r="E5" s="8" t="n">
        <v>0.978</v>
      </c>
      <c r="F5" s="7" t="b">
        <f aca="false">FALSE()</f>
        <v>0</v>
      </c>
      <c r="G5" s="6" t="s">
        <v>142</v>
      </c>
    </row>
    <row r="6" customFormat="false" ht="35.05" hidden="false" customHeight="false" outlineLevel="0" collapsed="false">
      <c r="A6" s="5" t="s">
        <v>71</v>
      </c>
      <c r="B6" s="5" t="s">
        <v>103</v>
      </c>
      <c r="C6" s="5" t="n">
        <v>49200</v>
      </c>
      <c r="D6" s="5" t="n">
        <v>48950</v>
      </c>
      <c r="E6" s="8" t="n">
        <v>0.981</v>
      </c>
      <c r="F6" s="7" t="b">
        <f aca="false">FALSE()</f>
        <v>0</v>
      </c>
      <c r="G6" s="6" t="s">
        <v>143</v>
      </c>
    </row>
    <row r="7" customFormat="false" ht="79.85" hidden="false" customHeight="false" outlineLevel="0" collapsed="false">
      <c r="A7" s="5" t="s">
        <v>71</v>
      </c>
      <c r="B7" s="5" t="s">
        <v>104</v>
      </c>
      <c r="C7" s="5" t="n">
        <v>49000</v>
      </c>
      <c r="D7" s="5" t="n">
        <v>48980</v>
      </c>
      <c r="E7" s="8" t="n">
        <v>0.9996</v>
      </c>
      <c r="F7" s="7" t="b">
        <f aca="false">FALSE()</f>
        <v>0</v>
      </c>
      <c r="G7" s="6" t="s">
        <v>144</v>
      </c>
    </row>
    <row r="8" customFormat="false" ht="15" hidden="false" customHeight="false" outlineLevel="0" collapsed="false">
      <c r="A8" s="5" t="s">
        <v>75</v>
      </c>
      <c r="B8" s="5" t="s">
        <v>102</v>
      </c>
      <c r="C8" s="5" t="n">
        <v>44000</v>
      </c>
      <c r="D8" s="5" t="n">
        <v>43950</v>
      </c>
      <c r="E8" s="8" t="n">
        <v>0.977</v>
      </c>
      <c r="F8" s="7" t="b">
        <f aca="false">TRUE()</f>
        <v>1</v>
      </c>
      <c r="G8" s="6"/>
    </row>
    <row r="9" customFormat="false" ht="15" hidden="false" customHeight="false" outlineLevel="0" collapsed="false">
      <c r="A9" s="5" t="s">
        <v>75</v>
      </c>
      <c r="B9" s="5" t="s">
        <v>103</v>
      </c>
      <c r="C9" s="5" t="n">
        <v>44200</v>
      </c>
      <c r="D9" s="5" t="n">
        <v>44100</v>
      </c>
      <c r="E9" s="8" t="n">
        <v>0.9977</v>
      </c>
      <c r="F9" s="7" t="b">
        <f aca="false">TRUE()</f>
        <v>1</v>
      </c>
      <c r="G9" s="6"/>
    </row>
    <row r="10" customFormat="false" ht="57.45" hidden="false" customHeight="false" outlineLevel="0" collapsed="false">
      <c r="A10" s="5" t="s">
        <v>75</v>
      </c>
      <c r="B10" s="5" t="s">
        <v>104</v>
      </c>
      <c r="C10" s="5" t="n">
        <v>51000</v>
      </c>
      <c r="D10" s="5" t="n">
        <v>47200</v>
      </c>
      <c r="E10" s="8" t="n">
        <v>0.925</v>
      </c>
      <c r="F10" s="7" t="b">
        <f aca="false">FALSE()</f>
        <v>0</v>
      </c>
      <c r="G10" s="6" t="s">
        <v>145</v>
      </c>
    </row>
    <row r="11" customFormat="false" ht="15" hidden="false" customHeight="false" outlineLevel="0" collapsed="false">
      <c r="A11" s="5" t="s">
        <v>79</v>
      </c>
      <c r="B11" s="5" t="s">
        <v>102</v>
      </c>
      <c r="C11" s="5" t="n">
        <v>37500</v>
      </c>
      <c r="D11" s="5" t="n">
        <v>37400</v>
      </c>
      <c r="E11" s="8" t="n">
        <v>0.997</v>
      </c>
      <c r="F11" s="7" t="b">
        <f aca="false">TRUE()</f>
        <v>1</v>
      </c>
      <c r="G11" s="6"/>
    </row>
    <row r="12" customFormat="false" ht="79.85" hidden="false" customHeight="false" outlineLevel="0" collapsed="false">
      <c r="A12" s="5" t="s">
        <v>79</v>
      </c>
      <c r="B12" s="5" t="s">
        <v>103</v>
      </c>
      <c r="C12" s="5" t="n">
        <v>37800</v>
      </c>
      <c r="D12" s="5" t="n">
        <v>37200</v>
      </c>
      <c r="E12" s="8" t="n">
        <v>0.984</v>
      </c>
      <c r="F12" s="7" t="b">
        <f aca="false">FALSE()</f>
        <v>0</v>
      </c>
      <c r="G12" s="6" t="s">
        <v>146</v>
      </c>
    </row>
    <row r="13" customFormat="false" ht="35.05" hidden="false" customHeight="false" outlineLevel="0" collapsed="false">
      <c r="A13" s="5" t="s">
        <v>79</v>
      </c>
      <c r="B13" s="5" t="s">
        <v>104</v>
      </c>
      <c r="C13" s="5" t="n">
        <v>38000</v>
      </c>
      <c r="D13" s="5" t="n">
        <v>37950</v>
      </c>
      <c r="E13" s="8" t="n">
        <v>0.9987</v>
      </c>
      <c r="F13" s="7" t="b">
        <f aca="false">TRUE()</f>
        <v>1</v>
      </c>
      <c r="G13" s="6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  <col collapsed="false" customWidth="true" hidden="false" outlineLevel="0" max="7" min="7" style="0" width="48"/>
  </cols>
  <sheetData>
    <row r="1" customFormat="false" ht="15" hidden="false" customHeight="false" outlineLevel="0" collapsed="false">
      <c r="A1" s="4" t="s">
        <v>63</v>
      </c>
      <c r="B1" s="4" t="s">
        <v>34</v>
      </c>
      <c r="C1" s="4" t="s">
        <v>148</v>
      </c>
      <c r="D1" s="4" t="s">
        <v>149</v>
      </c>
      <c r="E1" s="4" t="s">
        <v>150</v>
      </c>
      <c r="F1" s="4" t="s">
        <v>87</v>
      </c>
      <c r="G1" s="4" t="s">
        <v>98</v>
      </c>
    </row>
    <row r="2" customFormat="false" ht="15" hidden="false" customHeight="false" outlineLevel="0" collapsed="false">
      <c r="A2" s="5" t="s">
        <v>67</v>
      </c>
      <c r="B2" s="5" t="s">
        <v>40</v>
      </c>
      <c r="C2" s="5" t="n">
        <v>34500</v>
      </c>
      <c r="D2" s="5" t="s">
        <v>101</v>
      </c>
      <c r="E2" s="5" t="n">
        <v>4200</v>
      </c>
      <c r="F2" s="5" t="s">
        <v>99</v>
      </c>
      <c r="G2" s="6"/>
    </row>
    <row r="3" customFormat="false" ht="15" hidden="false" customHeight="false" outlineLevel="0" collapsed="false">
      <c r="A3" s="5" t="s">
        <v>67</v>
      </c>
      <c r="B3" s="5" t="s">
        <v>50</v>
      </c>
      <c r="C3" s="5" t="n">
        <v>2000</v>
      </c>
      <c r="D3" s="5" t="s">
        <v>151</v>
      </c>
      <c r="E3" s="5" t="n">
        <v>300</v>
      </c>
      <c r="F3" s="5" t="s">
        <v>99</v>
      </c>
      <c r="G3" s="6"/>
    </row>
    <row r="4" customFormat="false" ht="15" hidden="false" customHeight="false" outlineLevel="0" collapsed="false">
      <c r="A4" s="5" t="s">
        <v>71</v>
      </c>
      <c r="B4" s="5" t="s">
        <v>40</v>
      </c>
      <c r="C4" s="5" t="n">
        <v>34500</v>
      </c>
      <c r="D4" s="5" t="s">
        <v>101</v>
      </c>
      <c r="E4" s="5" t="n">
        <v>4150</v>
      </c>
      <c r="F4" s="5" t="s">
        <v>111</v>
      </c>
      <c r="G4" s="6"/>
    </row>
    <row r="5" customFormat="false" ht="15" hidden="false" customHeight="false" outlineLevel="0" collapsed="false">
      <c r="A5" s="5" t="s">
        <v>71</v>
      </c>
      <c r="B5" s="5" t="s">
        <v>45</v>
      </c>
      <c r="C5" s="5" t="n">
        <v>4200</v>
      </c>
      <c r="D5" s="5" t="s">
        <v>152</v>
      </c>
      <c r="E5" s="5" t="n">
        <v>500</v>
      </c>
      <c r="F5" s="5" t="s">
        <v>111</v>
      </c>
      <c r="G5" s="6"/>
    </row>
    <row r="6" customFormat="false" ht="15" hidden="false" customHeight="false" outlineLevel="0" collapsed="false">
      <c r="A6" s="5" t="s">
        <v>71</v>
      </c>
      <c r="B6" s="5" t="s">
        <v>45</v>
      </c>
      <c r="C6" s="5" t="n">
        <v>4200</v>
      </c>
      <c r="D6" s="5" t="s">
        <v>113</v>
      </c>
      <c r="E6" s="5" t="n">
        <v>200</v>
      </c>
      <c r="F6" s="5" t="s">
        <v>111</v>
      </c>
      <c r="G6" s="6"/>
    </row>
    <row r="7" customFormat="false" ht="15" hidden="false" customHeight="false" outlineLevel="0" collapsed="false">
      <c r="A7" s="5" t="s">
        <v>71</v>
      </c>
      <c r="B7" s="5" t="s">
        <v>50</v>
      </c>
      <c r="C7" s="5" t="n">
        <v>1900</v>
      </c>
      <c r="D7" s="5" t="s">
        <v>151</v>
      </c>
      <c r="E7" s="5" t="n">
        <v>280</v>
      </c>
      <c r="F7" s="5" t="s">
        <v>111</v>
      </c>
      <c r="G7" s="6"/>
    </row>
    <row r="8" customFormat="false" ht="15" hidden="false" customHeight="false" outlineLevel="0" collapsed="false">
      <c r="A8" s="5" t="s">
        <v>75</v>
      </c>
      <c r="B8" s="5" t="s">
        <v>40</v>
      </c>
      <c r="C8" s="5" t="n">
        <v>34000</v>
      </c>
      <c r="D8" s="5" t="s">
        <v>101</v>
      </c>
      <c r="E8" s="5" t="n">
        <v>4100</v>
      </c>
      <c r="F8" s="5"/>
      <c r="G8" s="6"/>
    </row>
    <row r="9" customFormat="false" ht="35.05" hidden="false" customHeight="false" outlineLevel="0" collapsed="false">
      <c r="A9" s="5" t="s">
        <v>75</v>
      </c>
      <c r="B9" s="5" t="s">
        <v>45</v>
      </c>
      <c r="C9" s="5" t="n">
        <v>5000</v>
      </c>
      <c r="D9" s="5" t="s">
        <v>153</v>
      </c>
      <c r="E9" s="5" t="n">
        <v>1900</v>
      </c>
      <c r="F9" s="5" t="s">
        <v>105</v>
      </c>
      <c r="G9" s="6" t="s">
        <v>154</v>
      </c>
    </row>
    <row r="10" customFormat="false" ht="15" hidden="false" customHeight="false" outlineLevel="0" collapsed="false">
      <c r="A10" s="5" t="s">
        <v>79</v>
      </c>
      <c r="B10" s="5" t="s">
        <v>45</v>
      </c>
      <c r="C10" s="5" t="n">
        <v>4200</v>
      </c>
      <c r="D10" s="5" t="s">
        <v>152</v>
      </c>
      <c r="E10" s="5" t="n">
        <v>1400</v>
      </c>
      <c r="F10" s="5" t="s">
        <v>115</v>
      </c>
      <c r="G10" s="6"/>
    </row>
    <row r="11" customFormat="false" ht="15" hidden="false" customHeight="false" outlineLevel="0" collapsed="false">
      <c r="A11" s="5" t="s">
        <v>79</v>
      </c>
      <c r="B11" s="5" t="s">
        <v>59</v>
      </c>
      <c r="C11" s="5" t="n">
        <v>1500</v>
      </c>
      <c r="D11" s="5" t="s">
        <v>152</v>
      </c>
      <c r="E11" s="5" t="n">
        <v>900</v>
      </c>
      <c r="F11" s="5" t="s">
        <v>115</v>
      </c>
      <c r="G11" s="6"/>
    </row>
    <row r="12" customFormat="false" ht="15" hidden="false" customHeight="false" outlineLevel="0" collapsed="false">
      <c r="A12" s="5" t="s">
        <v>83</v>
      </c>
      <c r="B12" s="5" t="s">
        <v>40</v>
      </c>
      <c r="C12" s="5" t="n">
        <v>34000</v>
      </c>
      <c r="D12" s="5" t="s">
        <v>101</v>
      </c>
      <c r="E12" s="5" t="n">
        <v>4050</v>
      </c>
      <c r="F12" s="5"/>
      <c r="G12" s="6"/>
    </row>
    <row r="13" customFormat="false" ht="68.65" hidden="false" customHeight="false" outlineLevel="0" collapsed="false">
      <c r="A13" s="5" t="s">
        <v>83</v>
      </c>
      <c r="B13" s="5" t="s">
        <v>54</v>
      </c>
      <c r="C13" s="5" t="n">
        <v>12000</v>
      </c>
      <c r="D13" s="5" t="s">
        <v>101</v>
      </c>
      <c r="E13" s="5" t="n">
        <v>1450</v>
      </c>
      <c r="F13" s="5"/>
      <c r="G13" s="6" t="s">
        <v>155</v>
      </c>
    </row>
    <row r="14" customFormat="false" ht="68.65" hidden="false" customHeight="false" outlineLevel="0" collapsed="false">
      <c r="A14" s="5" t="s">
        <v>83</v>
      </c>
      <c r="B14" s="5" t="s">
        <v>54</v>
      </c>
      <c r="C14" s="5" t="n">
        <v>12000</v>
      </c>
      <c r="D14" s="5" t="s">
        <v>113</v>
      </c>
      <c r="E14" s="5" t="n">
        <v>600</v>
      </c>
      <c r="F14" s="5" t="s">
        <v>111</v>
      </c>
      <c r="G14" s="6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2"/>
    <col collapsed="false" customWidth="true" hidden="false" outlineLevel="0" max="8" min="8" style="0" width="48"/>
  </cols>
  <sheetData>
    <row r="1" customFormat="false" ht="26.85" hidden="false" customHeight="false" outlineLevel="0" collapsed="false">
      <c r="A1" s="4" t="s">
        <v>63</v>
      </c>
      <c r="B1" s="4" t="s">
        <v>156</v>
      </c>
      <c r="C1" s="4" t="s">
        <v>157</v>
      </c>
      <c r="D1" s="4" t="s">
        <v>158</v>
      </c>
      <c r="E1" s="4" t="s">
        <v>159</v>
      </c>
      <c r="F1" s="4" t="s">
        <v>160</v>
      </c>
      <c r="G1" s="4" t="s">
        <v>161</v>
      </c>
      <c r="H1" s="4" t="s">
        <v>162</v>
      </c>
    </row>
    <row r="2" customFormat="false" ht="15" hidden="false" customHeight="false" outlineLevel="0" collapsed="false">
      <c r="A2" s="5" t="s">
        <v>67</v>
      </c>
      <c r="B2" s="5" t="s">
        <v>101</v>
      </c>
      <c r="C2" s="5" t="n">
        <v>4300</v>
      </c>
      <c r="D2" s="5"/>
      <c r="E2" s="5" t="s">
        <v>99</v>
      </c>
      <c r="F2" s="5" t="n">
        <v>4200</v>
      </c>
      <c r="G2" s="5" t="s">
        <v>163</v>
      </c>
      <c r="H2" s="6"/>
    </row>
    <row r="3" customFormat="false" ht="15" hidden="false" customHeight="false" outlineLevel="0" collapsed="false">
      <c r="A3" s="5" t="s">
        <v>67</v>
      </c>
      <c r="B3" s="5" t="s">
        <v>151</v>
      </c>
      <c r="C3" s="5" t="n">
        <v>320</v>
      </c>
      <c r="D3" s="5"/>
      <c r="E3" s="5"/>
      <c r="F3" s="5"/>
      <c r="G3" s="5"/>
      <c r="H3" s="6"/>
    </row>
    <row r="4" customFormat="false" ht="15" hidden="false" customHeight="false" outlineLevel="0" collapsed="false">
      <c r="A4" s="5" t="s">
        <v>71</v>
      </c>
      <c r="B4" s="5" t="s">
        <v>101</v>
      </c>
      <c r="C4" s="5" t="n">
        <v>4100</v>
      </c>
      <c r="D4" s="5"/>
      <c r="E4" s="5" t="s">
        <v>111</v>
      </c>
      <c r="F4" s="5" t="n">
        <v>4150</v>
      </c>
      <c r="G4" s="5" t="s">
        <v>163</v>
      </c>
      <c r="H4" s="6"/>
    </row>
    <row r="5" customFormat="false" ht="15" hidden="false" customHeight="false" outlineLevel="0" collapsed="false">
      <c r="A5" s="5" t="s">
        <v>71</v>
      </c>
      <c r="B5" s="5" t="s">
        <v>152</v>
      </c>
      <c r="C5" s="5" t="n">
        <v>480</v>
      </c>
      <c r="D5" s="5"/>
      <c r="E5" s="5" t="s">
        <v>111</v>
      </c>
      <c r="F5" s="5" t="n">
        <v>500</v>
      </c>
      <c r="G5" s="5" t="s">
        <v>163</v>
      </c>
      <c r="H5" s="6"/>
    </row>
    <row r="6" customFormat="false" ht="15" hidden="false" customHeight="false" outlineLevel="0" collapsed="false">
      <c r="A6" s="5" t="s">
        <v>71</v>
      </c>
      <c r="B6" s="5" t="s">
        <v>113</v>
      </c>
      <c r="C6" s="5" t="n">
        <v>210</v>
      </c>
      <c r="D6" s="5"/>
      <c r="E6" s="5" t="s">
        <v>111</v>
      </c>
      <c r="F6" s="5" t="n">
        <v>200</v>
      </c>
      <c r="G6" s="5" t="s">
        <v>163</v>
      </c>
      <c r="H6" s="6"/>
    </row>
    <row r="7" customFormat="false" ht="46.25" hidden="false" customHeight="false" outlineLevel="0" collapsed="false">
      <c r="A7" s="5" t="s">
        <v>71</v>
      </c>
      <c r="B7" s="5" t="s">
        <v>164</v>
      </c>
      <c r="C7" s="5"/>
      <c r="D7" s="5" t="s">
        <v>165</v>
      </c>
      <c r="E7" s="5"/>
      <c r="F7" s="5"/>
      <c r="G7" s="5"/>
      <c r="H7" s="6" t="s">
        <v>166</v>
      </c>
    </row>
    <row r="8" customFormat="false" ht="15" hidden="false" customHeight="false" outlineLevel="0" collapsed="false">
      <c r="A8" s="5" t="s">
        <v>75</v>
      </c>
      <c r="B8" s="5" t="s">
        <v>101</v>
      </c>
      <c r="C8" s="5" t="n">
        <v>4200</v>
      </c>
      <c r="D8" s="5"/>
      <c r="E8" s="5"/>
      <c r="F8" s="5" t="n">
        <v>4100</v>
      </c>
      <c r="G8" s="5" t="s">
        <v>163</v>
      </c>
      <c r="H8" s="6"/>
    </row>
    <row r="9" customFormat="false" ht="46.25" hidden="false" customHeight="false" outlineLevel="0" collapsed="false">
      <c r="A9" s="5" t="s">
        <v>75</v>
      </c>
      <c r="B9" s="5" t="s">
        <v>153</v>
      </c>
      <c r="C9" s="5" t="n">
        <v>150</v>
      </c>
      <c r="D9" s="5"/>
      <c r="E9" s="5" t="s">
        <v>105</v>
      </c>
      <c r="F9" s="5" t="n">
        <v>1900</v>
      </c>
      <c r="G9" s="5" t="s">
        <v>167</v>
      </c>
      <c r="H9" s="6" t="s">
        <v>168</v>
      </c>
    </row>
    <row r="10" customFormat="false" ht="68.65" hidden="false" customHeight="false" outlineLevel="0" collapsed="false">
      <c r="A10" s="5" t="s">
        <v>79</v>
      </c>
      <c r="B10" s="5" t="s">
        <v>152</v>
      </c>
      <c r="C10" s="5" t="n">
        <v>2100</v>
      </c>
      <c r="D10" s="5"/>
      <c r="E10" s="5" t="s">
        <v>115</v>
      </c>
      <c r="F10" s="5" t="n">
        <v>2100</v>
      </c>
      <c r="G10" s="5" t="s">
        <v>163</v>
      </c>
      <c r="H10" s="6" t="s">
        <v>169</v>
      </c>
    </row>
    <row r="11" customFormat="false" ht="15" hidden="false" customHeight="false" outlineLevel="0" collapsed="false">
      <c r="A11" s="5" t="s">
        <v>83</v>
      </c>
      <c r="B11" s="5" t="s">
        <v>101</v>
      </c>
      <c r="C11" s="5" t="n">
        <v>5600</v>
      </c>
      <c r="D11" s="5"/>
      <c r="E11" s="5"/>
      <c r="F11" s="5" t="n">
        <v>5500</v>
      </c>
      <c r="G11" s="5" t="s">
        <v>163</v>
      </c>
      <c r="H11" s="6"/>
    </row>
    <row r="12" customFormat="false" ht="15" hidden="false" customHeight="false" outlineLevel="0" collapsed="false">
      <c r="A12" s="5" t="s">
        <v>83</v>
      </c>
      <c r="B12" s="5" t="s">
        <v>113</v>
      </c>
      <c r="C12" s="5" t="n">
        <v>700</v>
      </c>
      <c r="D12" s="5"/>
      <c r="E12" s="5" t="s">
        <v>111</v>
      </c>
      <c r="F12" s="5" t="n">
        <v>600</v>
      </c>
      <c r="G12" s="5" t="s">
        <v>163</v>
      </c>
      <c r="H12" s="6"/>
    </row>
    <row r="13" customFormat="false" ht="57.45" hidden="false" customHeight="false" outlineLevel="0" collapsed="false">
      <c r="A13" s="5" t="s">
        <v>83</v>
      </c>
      <c r="B13" s="5" t="s">
        <v>170</v>
      </c>
      <c r="C13" s="5"/>
      <c r="D13" s="5" t="s">
        <v>171</v>
      </c>
      <c r="E13" s="5"/>
      <c r="F13" s="5"/>
      <c r="G13" s="5"/>
      <c r="H13" s="6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2026-07-04T10:04:48Z</dcterms:created>
  <dc:creator>openpyxl</dc:creator>
  <dc:description/>
  <dc:language>en-US</dc:language>
  <cp:lastModifiedBy/>
  <dcterms:modified xsi:type="dcterms:W3CDTF">2026-07-04T10:04:49Z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